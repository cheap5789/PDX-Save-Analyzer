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\Documents\Claude\Projects\PDX Save Analyzer\docs\games\eu5\"/>
    </mc:Choice>
  </mc:AlternateContent>
  <xr:revisionPtr revIDLastSave="0" documentId="8_{10A1141D-5435-45E1-9AB8-579C1E10BAD5}" xr6:coauthVersionLast="47" xr6:coauthVersionMax="47" xr10:uidLastSave="{00000000-0000-0000-0000-000000000000}"/>
  <bookViews>
    <workbookView xWindow="-120" yWindow="-120" windowWidth="38640" windowHeight="21120" xr2:uid="{5B610615-9AC8-49E7-8C75-DE8648DC1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N24" i="1"/>
  <c r="F23" i="1"/>
  <c r="F24" i="1"/>
  <c r="F25" i="1"/>
  <c r="F26" i="1"/>
  <c r="F27" i="1"/>
  <c r="F28" i="1"/>
  <c r="F29" i="1"/>
  <c r="F30" i="1"/>
  <c r="F34" i="1"/>
  <c r="F35" i="1"/>
  <c r="F36" i="1"/>
  <c r="F37" i="1"/>
  <c r="F38" i="1"/>
  <c r="F39" i="1"/>
  <c r="F40" i="1"/>
  <c r="F41" i="1"/>
  <c r="F42" i="1"/>
  <c r="F46" i="1"/>
  <c r="F47" i="1"/>
  <c r="F48" i="1"/>
  <c r="F49" i="1"/>
  <c r="F50" i="1"/>
  <c r="F22" i="1"/>
  <c r="H14" i="1"/>
  <c r="H13" i="1"/>
  <c r="H12" i="1"/>
  <c r="H10" i="1"/>
  <c r="H2" i="1"/>
</calcChain>
</file>

<file path=xl/sharedStrings.xml><?xml version="1.0" encoding="utf-8"?>
<sst xmlns="http://schemas.openxmlformats.org/spreadsheetml/2006/main" count="306" uniqueCount="173">
  <si>
    <t>Field</t>
  </si>
  <si>
    <t>Raw value</t>
  </si>
  <si>
    <t>Our catalog key</t>
  </si>
  <si>
    <t>What game UI likely shows</t>
  </si>
  <si>
    <t>Question for you</t>
  </si>
  <si>
    <t>gold</t>
  </si>
  <si>
    <t>353.22</t>
  </si>
  <si>
    <r>
      <t>gold</t>
    </r>
    <r>
      <rPr>
        <sz val="11"/>
        <color theme="1"/>
        <rFont val="Aptos Narrow"/>
        <family val="2"/>
        <scheme val="minor"/>
      </rPr>
      <t xml:space="preserve"> ✅</t>
    </r>
  </si>
  <si>
    <t>Treasury gold</t>
  </si>
  <si>
    <t>What does the game show for France's treasury? Is it ~353 ducats?</t>
  </si>
  <si>
    <t>manpower</t>
  </si>
  <si>
    <t>0.839</t>
  </si>
  <si>
    <r>
      <t>manpower</t>
    </r>
    <r>
      <rPr>
        <sz val="11"/>
        <color theme="1"/>
        <rFont val="Aptos Narrow"/>
        <family val="2"/>
        <scheme val="minor"/>
      </rPr>
      <t xml:space="preserve"> ✅</t>
    </r>
  </si>
  <si>
    <t>Manpower pool</t>
  </si>
  <si>
    <t>This is suspiciously small. Is this a ratio (83.9% of max)? Or thousands? Game shows...?</t>
  </si>
  <si>
    <t>sailors</t>
  </si>
  <si>
    <t>0.026</t>
  </si>
  <si>
    <t>— (not tracked)</t>
  </si>
  <si>
    <t>Sailor pool</t>
  </si>
  <si>
    <t>Same question. What does the game show?</t>
  </si>
  <si>
    <t>stability</t>
  </si>
  <si>
    <t>6.88</t>
  </si>
  <si>
    <r>
      <t>stability</t>
    </r>
    <r>
      <rPr>
        <sz val="11"/>
        <color theme="1"/>
        <rFont val="Aptos Narrow"/>
        <family val="2"/>
        <scheme val="minor"/>
      </rPr>
      <t xml:space="preserve"> ✅</t>
    </r>
  </si>
  <si>
    <t>Stability</t>
  </si>
  <si>
    <t>What range does the game show? Is 6.88 on a 0–100 scale?</t>
  </si>
  <si>
    <t>inflation</t>
  </si>
  <si>
    <t>0.209</t>
  </si>
  <si>
    <r>
      <t>inflation</t>
    </r>
    <r>
      <rPr>
        <sz val="11"/>
        <color theme="1"/>
        <rFont val="Aptos Narrow"/>
        <family val="2"/>
        <scheme val="minor"/>
      </rPr>
      <t xml:space="preserve"> ✅</t>
    </r>
  </si>
  <si>
    <t>Inflation</t>
  </si>
  <si>
    <t>What does the game display — 0.209 or 20.9%?</t>
  </si>
  <si>
    <t>prestige</t>
  </si>
  <si>
    <t>26.01</t>
  </si>
  <si>
    <r>
      <t>prestige</t>
    </r>
    <r>
      <rPr>
        <sz val="11"/>
        <color theme="1"/>
        <rFont val="Aptos Narrow"/>
        <family val="2"/>
        <scheme val="minor"/>
      </rPr>
      <t xml:space="preserve"> ✅</t>
    </r>
  </si>
  <si>
    <t>Prestige</t>
  </si>
  <si>
    <t>What does the game show?</t>
  </si>
  <si>
    <t>army_tradition</t>
  </si>
  <si>
    <t>8.72</t>
  </si>
  <si>
    <r>
      <t>army_tradition</t>
    </r>
    <r>
      <rPr>
        <sz val="11"/>
        <color theme="1"/>
        <rFont val="Aptos Narrow"/>
        <family val="2"/>
        <scheme val="minor"/>
      </rPr>
      <t xml:space="preserve"> ✅</t>
    </r>
  </si>
  <si>
    <t>Army Tradition</t>
  </si>
  <si>
    <t>navy_tradition</t>
  </si>
  <si>
    <t>0.10</t>
  </si>
  <si>
    <t>Navy Tradition</t>
  </si>
  <si>
    <t>Not in our catalog. Should it be?</t>
  </si>
  <si>
    <t>government_power</t>
  </si>
  <si>
    <t>53.27</t>
  </si>
  <si>
    <r>
      <t>government_power</t>
    </r>
    <r>
      <rPr>
        <sz val="11"/>
        <color theme="1"/>
        <rFont val="Aptos Narrow"/>
        <family val="2"/>
        <scheme val="minor"/>
      </rPr>
      <t xml:space="preserve"> ✅</t>
    </r>
  </si>
  <si>
    <t>Gov. Power</t>
  </si>
  <si>
    <t>karma</t>
  </si>
  <si>
    <t>-40.80</t>
  </si>
  <si>
    <r>
      <t>karma</t>
    </r>
    <r>
      <rPr>
        <sz val="11"/>
        <color theme="1"/>
        <rFont val="Aptos Narrow"/>
        <family val="2"/>
        <scheme val="minor"/>
      </rPr>
      <t xml:space="preserve"> ✅</t>
    </r>
  </si>
  <si>
    <t>???</t>
  </si>
  <si>
    <t>France is Catholic — does karma even display for Catholics?</t>
  </si>
  <si>
    <t>religious_influence</t>
  </si>
  <si>
    <t>39.14</t>
  </si>
  <si>
    <r>
      <t>religious_influence</t>
    </r>
    <r>
      <rPr>
        <sz val="11"/>
        <color theme="1"/>
        <rFont val="Aptos Narrow"/>
        <family val="2"/>
        <scheme val="minor"/>
      </rPr>
      <t xml:space="preserve"> ✅</t>
    </r>
  </si>
  <si>
    <t>Religious Influence</t>
  </si>
  <si>
    <t>purity</t>
  </si>
  <si>
    <r>
      <t>purity</t>
    </r>
    <r>
      <rPr>
        <sz val="11"/>
        <color theme="1"/>
        <rFont val="Aptos Narrow"/>
        <family val="2"/>
        <scheme val="minor"/>
      </rPr>
      <t xml:space="preserve"> ✅</t>
    </r>
  </si>
  <si>
    <t>Is this visible in France's UI?</t>
  </si>
  <si>
    <t>righteousness</t>
  </si>
  <si>
    <r>
      <t>righteousness</t>
    </r>
    <r>
      <rPr>
        <sz val="11"/>
        <color theme="1"/>
        <rFont val="Aptos Narrow"/>
        <family val="2"/>
        <scheme val="minor"/>
      </rPr>
      <t xml:space="preserve"> ✅</t>
    </r>
  </si>
  <si>
    <t>Same — is this visible?</t>
  </si>
  <si>
    <t>complacency</t>
  </si>
  <si>
    <t>7.70</t>
  </si>
  <si>
    <t>— (not tracked as stock, only monthly)</t>
  </si>
  <si>
    <t>Complacency</t>
  </si>
  <si>
    <t>value</t>
  </si>
  <si>
    <t>correct</t>
  </si>
  <si>
    <t>note</t>
  </si>
  <si>
    <t>we want to track that too</t>
  </si>
  <si>
    <t>factor 1000</t>
  </si>
  <si>
    <t>Stability is a -100 to 100 scale with 2 decimals; found in common/auto_modifiers/country.txt, 3 Modifiers exist: stability_impact is directly proportional, positive_stability_impact only applies on the 0 to 100 values and negative_stability_impact on the -100 to 0 values.</t>
  </si>
  <si>
    <t>no It doesn’t, no idea whether the game calculates based on actions and uses in case of conversion so let's keep it anyway</t>
  </si>
  <si>
    <t>with a monthly change of 0,08 ; Complacency is a scale from 0 to 100 and having over 90 gives a monthly chance to trigger a complacency disaster that lasts decades. Crucial to stay under 90 with diplo spending, being target of a coalition and having threatening rivals.</t>
  </si>
  <si>
    <t>|</t>
  </si>
  <si>
    <t>INCOME (current month)</t>
  </si>
  <si>
    <t>#</t>
  </si>
  <si>
    <t>Raw Field</t>
  </si>
  <si>
    <t>Path</t>
  </si>
  <si>
    <t>Raw Value</t>
  </si>
  <si>
    <t>Proposed Interpretation</t>
  </si>
  <si>
    <t>economy.income</t>
  </si>
  <si>
    <t>80.81</t>
  </si>
  <si>
    <t>Total monthly income (gold)</t>
  </si>
  <si>
    <t>estimated_monthly_income</t>
  </si>
  <si>
    <t>80.54</t>
  </si>
  <si>
    <t>Estimated income (slightly different — projection vs actual?)</t>
  </si>
  <si>
    <t>last_month_gold_income</t>
  </si>
  <si>
    <t>84.12</t>
  </si>
  <si>
    <t>Previous month's income</t>
  </si>
  <si>
    <t>estimated_monthly_income_trade_and_tax</t>
  </si>
  <si>
    <t>37.58</t>
  </si>
  <si>
    <t>Trade + tax portion of income</t>
  </si>
  <si>
    <t>last_months_tax_income</t>
  </si>
  <si>
    <t>27.48</t>
  </si>
  <si>
    <t>Tax income only</t>
  </si>
  <si>
    <t>last_months_subject_tax</t>
  </si>
  <si>
    <t>454.87</t>
  </si>
  <si>
    <t>⚠️ Suspicious — much larger than total income. Different unit? Cumulative?</t>
  </si>
  <si>
    <t>monthly_trade_value</t>
  </si>
  <si>
    <t>66.58</t>
  </si>
  <si>
    <t>Gross trade value</t>
  </si>
  <si>
    <t>monthly_trade_balance</t>
  </si>
  <si>
    <t>1.67</t>
  </si>
  <si>
    <t>Net trade balance</t>
  </si>
  <si>
    <t>economy.coin_minting</t>
  </si>
  <si>
    <t>0.11</t>
  </si>
  <si>
    <t>Income from minting</t>
  </si>
  <si>
    <t>EXPENSES (current month)</t>
  </si>
  <si>
    <t>economy.expense</t>
  </si>
  <si>
    <t>58.86</t>
  </si>
  <si>
    <t>Total monthly expense</t>
  </si>
  <si>
    <t>last_months_army_maintenance</t>
  </si>
  <si>
    <t>5.36</t>
  </si>
  <si>
    <t>Army upkeep</t>
  </si>
  <si>
    <t>last_months_navy_maintenance</t>
  </si>
  <si>
    <t>(not in catalog yet)</t>
  </si>
  <si>
    <t>0.21</t>
  </si>
  <si>
    <t>Navy upkeep</t>
  </si>
  <si>
    <t>last_months_fort_maintenance</t>
  </si>
  <si>
    <t>28.87</t>
  </si>
  <si>
    <t>Fort upkeep</t>
  </si>
  <si>
    <t>last_months_building_maintenance</t>
  </si>
  <si>
    <t>17.12</t>
  </si>
  <si>
    <t>Building upkeep</t>
  </si>
  <si>
    <t>last_months_manpower_expense</t>
  </si>
  <si>
    <t>(not in catalog)</t>
  </si>
  <si>
    <t>0.01</t>
  </si>
  <si>
    <t>Manpower-related cost</t>
  </si>
  <si>
    <t>last_months_sailor_expense</t>
  </si>
  <si>
    <t>0.001</t>
  </si>
  <si>
    <t>Sailor-related cost</t>
  </si>
  <si>
    <t>—</t>
  </si>
  <si>
    <t>Sum of known line items</t>
  </si>
  <si>
    <t>51.56</t>
  </si>
  <si>
    <t>Gap of 7.30 vs actual 58.86</t>
  </si>
  <si>
    <t>BALANCE &amp; DEBT</t>
  </si>
  <si>
    <t>economy.income - economy.expense</t>
  </si>
  <si>
    <t>21.94</t>
  </si>
  <si>
    <r>
      <t xml:space="preserve">Monthly balance — matches </t>
    </r>
    <r>
      <rPr>
        <sz val="10"/>
        <color theme="1"/>
        <rFont val="Arial Unicode MS"/>
      </rPr>
      <t>recent_balance[-1]</t>
    </r>
    <r>
      <rPr>
        <sz val="11"/>
        <color theme="1"/>
        <rFont val="Aptos Narrow"/>
        <family val="2"/>
        <scheme val="minor"/>
      </rPr>
      <t xml:space="preserve"> ✓</t>
    </r>
  </si>
  <si>
    <t>balance_history_2.Gold</t>
  </si>
  <si>
    <t>9.65</t>
  </si>
  <si>
    <t>⚠️ Different from balance. What is this?</t>
  </si>
  <si>
    <t>economy.total_debt</t>
  </si>
  <si>
    <t>362.72</t>
  </si>
  <si>
    <t>Outstanding loans</t>
  </si>
  <si>
    <t>economy.loan_capacity</t>
  </si>
  <si>
    <t>2985.10</t>
  </si>
  <si>
    <t>Max borrowing capacity</t>
  </si>
  <si>
    <r>
      <t>MAINTENANCE SLIDERS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economy.maintenances</t>
    </r>
    <r>
      <rPr>
        <sz val="11"/>
        <color theme="1"/>
        <rFont val="Aptos Narrow"/>
        <family val="2"/>
        <scheme val="minor"/>
      </rPr>
      <t>)</t>
    </r>
  </si>
  <si>
    <t>Slider</t>
  </si>
  <si>
    <t>Value</t>
  </si>
  <si>
    <t>Interpretation</t>
  </si>
  <si>
    <t>Army</t>
  </si>
  <si>
    <t>1.0</t>
  </si>
  <si>
    <t>100% — full maintenance</t>
  </si>
  <si>
    <t>Naval</t>
  </si>
  <si>
    <t>Fort</t>
  </si>
  <si>
    <t>Cultural</t>
  </si>
  <si>
    <t>0.25</t>
  </si>
  <si>
    <t>Colonial</t>
  </si>
  <si>
    <t>0.5</t>
  </si>
  <si>
    <t>Exploration</t>
  </si>
  <si>
    <r>
      <t>TAX RATES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economy.tax_rates</t>
    </r>
    <r>
      <rPr>
        <sz val="11"/>
        <color theme="1"/>
        <rFont val="Aptos Narrow"/>
        <family val="2"/>
        <scheme val="minor"/>
      </rPr>
      <t>)</t>
    </r>
  </si>
  <si>
    <t>Estate</t>
  </si>
  <si>
    <t>Rate</t>
  </si>
  <si>
    <t>Nobles</t>
  </si>
  <si>
    <t>0.126 (12.6%)</t>
  </si>
  <si>
    <t>Burghers</t>
  </si>
  <si>
    <t>0.439 (43.9%)</t>
  </si>
  <si>
    <t>Peasants</t>
  </si>
  <si>
    <t>0.476 (47.6%)</t>
  </si>
  <si>
    <t>In game found as "wealth of the subjects". 20% of this is used to calculated the "economic base" of the country, alongside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</si>
</sst>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  <xf numFmtId="10" fontId="1" fillId="0" borderId="0" xfId="0" applyNumberFormat="1" applyFont="1"/>
    <xf numFmtId="0" fontId="1" fillId="0" borderId="0" xfId="0" applyFont="1" applyAlignment="1"/>
    <xf numFmtId="0" fontId="0" fillId="0" borderId="0" xfId="0" applyAlignment="1"/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EA9A-9546-452A-AB26-F904639CEB2A}">
  <dimension ref="A1:O68"/>
  <sheetViews>
    <sheetView tabSelected="1" topLeftCell="A13" workbookViewId="0">
      <selection activeCell="O24" sqref="O24"/>
    </sheetView>
  </sheetViews>
  <sheetFormatPr defaultRowHeight="15"/>
  <cols>
    <col min="1" max="1" width="16.42578125" bestFit="1" customWidth="1"/>
    <col min="2" max="2" width="37.28515625" bestFit="1" customWidth="1"/>
    <col min="3" max="3" width="35.28515625" bestFit="1" customWidth="1"/>
    <col min="4" max="4" width="25.140625" bestFit="1" customWidth="1"/>
    <col min="5" max="5" width="80.7109375" bestFit="1" customWidth="1"/>
    <col min="6" max="6" width="16.42578125" bestFit="1" customWidth="1"/>
    <col min="7" max="7" width="2" bestFit="1" customWidth="1"/>
    <col min="9" max="9" width="2" bestFit="1" customWidth="1"/>
    <col min="10" max="10" width="22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74</v>
      </c>
      <c r="H1" s="1" t="s">
        <v>66</v>
      </c>
      <c r="I1" s="1" t="s">
        <v>74</v>
      </c>
      <c r="J1" s="1" t="s">
        <v>68</v>
      </c>
    </row>
    <row r="2" spans="1:10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2" t="s">
        <v>5</v>
      </c>
      <c r="G2" s="5" t="s">
        <v>74</v>
      </c>
      <c r="H2" t="str">
        <f>B2</f>
        <v>353.22</v>
      </c>
      <c r="I2" s="6" t="s">
        <v>74</v>
      </c>
      <c r="J2" t="s">
        <v>67</v>
      </c>
    </row>
    <row r="3" spans="1:10">
      <c r="A3" s="2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2" t="s">
        <v>10</v>
      </c>
      <c r="G3" s="5" t="s">
        <v>74</v>
      </c>
      <c r="H3">
        <v>839</v>
      </c>
      <c r="I3" s="6" t="s">
        <v>74</v>
      </c>
      <c r="J3" t="s">
        <v>70</v>
      </c>
    </row>
    <row r="4" spans="1:10">
      <c r="A4" s="2" t="s">
        <v>15</v>
      </c>
      <c r="B4" s="2" t="s">
        <v>16</v>
      </c>
      <c r="C4" s="3" t="s">
        <v>17</v>
      </c>
      <c r="D4" s="3" t="s">
        <v>18</v>
      </c>
      <c r="E4" s="3" t="s">
        <v>19</v>
      </c>
      <c r="F4" s="2" t="s">
        <v>15</v>
      </c>
      <c r="G4" s="5" t="s">
        <v>74</v>
      </c>
      <c r="H4">
        <v>26</v>
      </c>
      <c r="I4" s="6" t="s">
        <v>74</v>
      </c>
      <c r="J4" s="3" t="s">
        <v>69</v>
      </c>
    </row>
    <row r="5" spans="1:10">
      <c r="A5" s="2" t="s">
        <v>20</v>
      </c>
      <c r="B5" s="2" t="s">
        <v>21</v>
      </c>
      <c r="C5" s="2" t="s">
        <v>22</v>
      </c>
      <c r="D5" s="3" t="s">
        <v>23</v>
      </c>
      <c r="E5" s="3" t="s">
        <v>24</v>
      </c>
      <c r="F5" s="2" t="s">
        <v>20</v>
      </c>
      <c r="G5" s="5" t="s">
        <v>74</v>
      </c>
      <c r="H5">
        <v>6</v>
      </c>
      <c r="I5" s="6" t="s">
        <v>74</v>
      </c>
      <c r="J5" t="s">
        <v>71</v>
      </c>
    </row>
    <row r="6" spans="1:10">
      <c r="A6" s="2" t="s">
        <v>25</v>
      </c>
      <c r="B6" s="2" t="s">
        <v>26</v>
      </c>
      <c r="C6" s="2" t="s">
        <v>27</v>
      </c>
      <c r="D6" s="3" t="s">
        <v>28</v>
      </c>
      <c r="E6" s="3" t="s">
        <v>29</v>
      </c>
      <c r="F6" s="2" t="s">
        <v>25</v>
      </c>
      <c r="G6" s="5" t="s">
        <v>74</v>
      </c>
      <c r="H6" s="4">
        <v>0.20899999999999999</v>
      </c>
      <c r="I6" s="7" t="s">
        <v>74</v>
      </c>
    </row>
    <row r="7" spans="1:10">
      <c r="A7" s="2" t="s">
        <v>30</v>
      </c>
      <c r="B7" s="2" t="s">
        <v>31</v>
      </c>
      <c r="C7" s="2" t="s">
        <v>32</v>
      </c>
      <c r="D7" s="3" t="s">
        <v>33</v>
      </c>
      <c r="E7" s="3" t="s">
        <v>34</v>
      </c>
      <c r="F7" s="2" t="s">
        <v>30</v>
      </c>
      <c r="G7" s="5" t="s">
        <v>74</v>
      </c>
      <c r="I7" s="6" t="s">
        <v>74</v>
      </c>
      <c r="J7" t="s">
        <v>67</v>
      </c>
    </row>
    <row r="8" spans="1:10">
      <c r="A8" s="2" t="s">
        <v>35</v>
      </c>
      <c r="B8" s="2" t="s">
        <v>36</v>
      </c>
      <c r="C8" s="2" t="s">
        <v>37</v>
      </c>
      <c r="D8" s="3" t="s">
        <v>38</v>
      </c>
      <c r="E8" s="3" t="s">
        <v>34</v>
      </c>
      <c r="F8" s="2" t="s">
        <v>35</v>
      </c>
      <c r="G8" s="5" t="s">
        <v>74</v>
      </c>
      <c r="H8" s="4">
        <v>8.72E-2</v>
      </c>
      <c r="I8" s="7" t="s">
        <v>74</v>
      </c>
    </row>
    <row r="9" spans="1:10">
      <c r="A9" s="2" t="s">
        <v>39</v>
      </c>
      <c r="B9" s="2" t="s">
        <v>40</v>
      </c>
      <c r="C9" s="3" t="s">
        <v>17</v>
      </c>
      <c r="D9" s="3" t="s">
        <v>41</v>
      </c>
      <c r="E9" s="3" t="s">
        <v>42</v>
      </c>
      <c r="F9" s="2" t="s">
        <v>39</v>
      </c>
      <c r="G9" s="5" t="s">
        <v>74</v>
      </c>
      <c r="H9" s="4">
        <v>1E-3</v>
      </c>
      <c r="I9" s="7" t="s">
        <v>74</v>
      </c>
      <c r="J9" s="3" t="s">
        <v>69</v>
      </c>
    </row>
    <row r="10" spans="1:10">
      <c r="A10" s="2" t="s">
        <v>43</v>
      </c>
      <c r="B10" s="2" t="s">
        <v>44</v>
      </c>
      <c r="C10" s="2" t="s">
        <v>45</v>
      </c>
      <c r="D10" s="3" t="s">
        <v>46</v>
      </c>
      <c r="E10" s="3" t="s">
        <v>34</v>
      </c>
      <c r="F10" s="2" t="s">
        <v>43</v>
      </c>
      <c r="G10" s="5" t="s">
        <v>74</v>
      </c>
      <c r="H10" t="str">
        <f>B10</f>
        <v>53.27</v>
      </c>
      <c r="I10" s="6" t="s">
        <v>74</v>
      </c>
    </row>
    <row r="11" spans="1:10">
      <c r="A11" s="2" t="s">
        <v>47</v>
      </c>
      <c r="B11" s="2" t="s">
        <v>48</v>
      </c>
      <c r="C11" s="2" t="s">
        <v>49</v>
      </c>
      <c r="D11" s="3" t="s">
        <v>50</v>
      </c>
      <c r="E11" s="3" t="s">
        <v>51</v>
      </c>
      <c r="F11" s="2" t="s">
        <v>47</v>
      </c>
      <c r="G11" s="5" t="s">
        <v>74</v>
      </c>
      <c r="I11" s="6" t="s">
        <v>74</v>
      </c>
      <c r="J11" t="s">
        <v>72</v>
      </c>
    </row>
    <row r="12" spans="1:10">
      <c r="A12" s="2" t="s">
        <v>52</v>
      </c>
      <c r="B12" s="2" t="s">
        <v>53</v>
      </c>
      <c r="C12" s="2" t="s">
        <v>54</v>
      </c>
      <c r="D12" s="3" t="s">
        <v>55</v>
      </c>
      <c r="E12" s="3" t="s">
        <v>34</v>
      </c>
      <c r="F12" s="2" t="s">
        <v>52</v>
      </c>
      <c r="G12" s="5" t="s">
        <v>74</v>
      </c>
      <c r="H12" t="str">
        <f>B12</f>
        <v>39.14</v>
      </c>
      <c r="I12" s="6" t="s">
        <v>74</v>
      </c>
    </row>
    <row r="13" spans="1:10">
      <c r="A13" s="2" t="s">
        <v>56</v>
      </c>
      <c r="B13" s="2">
        <v>60</v>
      </c>
      <c r="C13" s="2" t="s">
        <v>57</v>
      </c>
      <c r="D13" s="3" t="s">
        <v>50</v>
      </c>
      <c r="E13" s="3" t="s">
        <v>58</v>
      </c>
      <c r="F13" s="2" t="s">
        <v>56</v>
      </c>
      <c r="G13" s="5" t="s">
        <v>74</v>
      </c>
      <c r="H13">
        <f>B13</f>
        <v>60</v>
      </c>
      <c r="I13" s="6" t="s">
        <v>74</v>
      </c>
      <c r="J13" t="s">
        <v>72</v>
      </c>
    </row>
    <row r="14" spans="1:10">
      <c r="A14" s="2" t="s">
        <v>59</v>
      </c>
      <c r="B14" s="2">
        <v>90</v>
      </c>
      <c r="C14" s="2" t="s">
        <v>60</v>
      </c>
      <c r="D14" s="3" t="s">
        <v>50</v>
      </c>
      <c r="E14" s="3" t="s">
        <v>61</v>
      </c>
      <c r="F14" s="2" t="s">
        <v>59</v>
      </c>
      <c r="G14" s="5" t="s">
        <v>74</v>
      </c>
      <c r="H14">
        <f>B14</f>
        <v>90</v>
      </c>
      <c r="I14" s="6" t="s">
        <v>74</v>
      </c>
      <c r="J14" t="s">
        <v>72</v>
      </c>
    </row>
    <row r="15" spans="1:10">
      <c r="A15" s="2" t="s">
        <v>62</v>
      </c>
      <c r="B15" s="2" t="s">
        <v>63</v>
      </c>
      <c r="C15" s="3" t="s">
        <v>64</v>
      </c>
      <c r="D15" s="3" t="s">
        <v>65</v>
      </c>
      <c r="E15" s="3" t="s">
        <v>34</v>
      </c>
      <c r="F15" s="2" t="s">
        <v>62</v>
      </c>
      <c r="G15" s="5" t="s">
        <v>74</v>
      </c>
      <c r="H15">
        <v>7.7</v>
      </c>
      <c r="I15" s="6" t="s">
        <v>74</v>
      </c>
      <c r="J15" s="3" t="s">
        <v>73</v>
      </c>
    </row>
    <row r="19" spans="1:15">
      <c r="A19" s="8" t="s">
        <v>75</v>
      </c>
      <c r="B19" s="9"/>
      <c r="C19" s="9"/>
      <c r="D19" s="9"/>
      <c r="E19" s="9"/>
    </row>
    <row r="20" spans="1:15">
      <c r="A20" s="9"/>
      <c r="B20" s="9"/>
      <c r="C20" s="9"/>
      <c r="D20" s="9"/>
      <c r="E20" s="9"/>
    </row>
    <row r="21" spans="1:15">
      <c r="A21" s="1" t="s">
        <v>76</v>
      </c>
      <c r="B21" s="1" t="s">
        <v>77</v>
      </c>
      <c r="C21" s="1" t="s">
        <v>78</v>
      </c>
      <c r="D21" s="1" t="s">
        <v>79</v>
      </c>
      <c r="E21" s="1" t="s">
        <v>80</v>
      </c>
      <c r="F21" s="1" t="s">
        <v>0</v>
      </c>
      <c r="G21" s="1" t="s">
        <v>74</v>
      </c>
      <c r="H21" s="1" t="s">
        <v>66</v>
      </c>
      <c r="I21" s="1" t="s">
        <v>74</v>
      </c>
      <c r="J21" s="1" t="s">
        <v>68</v>
      </c>
    </row>
    <row r="22" spans="1:15">
      <c r="A22" s="3">
        <v>32</v>
      </c>
      <c r="B22" s="2" t="s">
        <v>81</v>
      </c>
      <c r="C22" s="2" t="s">
        <v>81</v>
      </c>
      <c r="D22" s="3" t="s">
        <v>82</v>
      </c>
      <c r="E22" s="3" t="s">
        <v>83</v>
      </c>
      <c r="F22" s="2" t="str">
        <f>B22</f>
        <v>economy.income</v>
      </c>
      <c r="G22" s="1" t="s">
        <v>74</v>
      </c>
      <c r="I22" s="1" t="s">
        <v>74</v>
      </c>
    </row>
    <row r="23" spans="1:15">
      <c r="A23" s="3">
        <v>33</v>
      </c>
      <c r="B23" s="2" t="s">
        <v>84</v>
      </c>
      <c r="C23" s="2" t="s">
        <v>84</v>
      </c>
      <c r="D23" s="3" t="s">
        <v>85</v>
      </c>
      <c r="E23" s="3" t="s">
        <v>86</v>
      </c>
      <c r="F23" s="2" t="str">
        <f t="shared" ref="F23:F68" si="0">B23</f>
        <v>estimated_monthly_income</v>
      </c>
      <c r="G23" s="1" t="s">
        <v>74</v>
      </c>
      <c r="I23" s="1" t="s">
        <v>74</v>
      </c>
    </row>
    <row r="24" spans="1:15">
      <c r="A24" s="3">
        <v>34</v>
      </c>
      <c r="B24" s="2" t="s">
        <v>87</v>
      </c>
      <c r="C24" s="2" t="s">
        <v>87</v>
      </c>
      <c r="D24" s="3" t="s">
        <v>88</v>
      </c>
      <c r="E24" s="3" t="s">
        <v>89</v>
      </c>
      <c r="F24" s="2" t="str">
        <f t="shared" si="0"/>
        <v>last_month_gold_income</v>
      </c>
      <c r="G24" s="1" t="s">
        <v>74</v>
      </c>
      <c r="I24" s="1" t="s">
        <v>74</v>
      </c>
      <c r="L24">
        <v>6190</v>
      </c>
      <c r="M24">
        <v>92.85</v>
      </c>
      <c r="N24">
        <f>+L24/M24</f>
        <v>66.666666666666671</v>
      </c>
      <c r="O24">
        <f>+L24/N24</f>
        <v>92.85</v>
      </c>
    </row>
    <row r="25" spans="1:15">
      <c r="A25" s="3">
        <v>35</v>
      </c>
      <c r="B25" s="2" t="s">
        <v>90</v>
      </c>
      <c r="C25" s="2" t="s">
        <v>90</v>
      </c>
      <c r="D25" s="3" t="s">
        <v>91</v>
      </c>
      <c r="E25" s="3" t="s">
        <v>92</v>
      </c>
      <c r="F25" s="2" t="str">
        <f t="shared" si="0"/>
        <v>estimated_monthly_income_trade_and_tax</v>
      </c>
      <c r="G25" s="1" t="s">
        <v>74</v>
      </c>
      <c r="I25" s="1" t="s">
        <v>74</v>
      </c>
    </row>
    <row r="26" spans="1:15">
      <c r="A26" s="3">
        <v>36</v>
      </c>
      <c r="B26" s="2" t="s">
        <v>93</v>
      </c>
      <c r="C26" s="2" t="s">
        <v>93</v>
      </c>
      <c r="D26" s="3" t="s">
        <v>94</v>
      </c>
      <c r="E26" s="3" t="s">
        <v>95</v>
      </c>
      <c r="F26" s="2" t="str">
        <f t="shared" si="0"/>
        <v>last_months_tax_income</v>
      </c>
      <c r="G26" s="1" t="s">
        <v>74</v>
      </c>
      <c r="I26" s="1" t="s">
        <v>74</v>
      </c>
    </row>
    <row r="27" spans="1:15">
      <c r="A27" s="3">
        <v>37</v>
      </c>
      <c r="B27" s="2" t="s">
        <v>96</v>
      </c>
      <c r="C27" s="2" t="s">
        <v>96</v>
      </c>
      <c r="D27" s="3" t="s">
        <v>97</v>
      </c>
      <c r="E27" s="3" t="s">
        <v>98</v>
      </c>
      <c r="F27" s="2" t="str">
        <f t="shared" si="0"/>
        <v>last_months_subject_tax</v>
      </c>
      <c r="G27" s="1" t="s">
        <v>74</v>
      </c>
      <c r="H27">
        <v>454.86</v>
      </c>
      <c r="I27" s="1" t="s">
        <v>74</v>
      </c>
      <c r="J27" t="s">
        <v>172</v>
      </c>
    </row>
    <row r="28" spans="1:15">
      <c r="A28" s="3">
        <v>38</v>
      </c>
      <c r="B28" s="2" t="s">
        <v>99</v>
      </c>
      <c r="C28" s="2" t="s">
        <v>99</v>
      </c>
      <c r="D28" s="3" t="s">
        <v>100</v>
      </c>
      <c r="E28" s="3" t="s">
        <v>101</v>
      </c>
      <c r="F28" s="2" t="str">
        <f t="shared" si="0"/>
        <v>monthly_trade_value</v>
      </c>
      <c r="G28" s="1" t="s">
        <v>74</v>
      </c>
      <c r="I28" s="1" t="s">
        <v>74</v>
      </c>
    </row>
    <row r="29" spans="1:15">
      <c r="A29" s="3">
        <v>39</v>
      </c>
      <c r="B29" s="2" t="s">
        <v>102</v>
      </c>
      <c r="C29" s="2" t="s">
        <v>102</v>
      </c>
      <c r="D29" s="3" t="s">
        <v>103</v>
      </c>
      <c r="E29" s="3" t="s">
        <v>104</v>
      </c>
      <c r="F29" s="2" t="str">
        <f t="shared" si="0"/>
        <v>monthly_trade_balance</v>
      </c>
      <c r="G29" s="1" t="s">
        <v>74</v>
      </c>
      <c r="I29" s="1" t="s">
        <v>74</v>
      </c>
    </row>
    <row r="30" spans="1:15">
      <c r="A30" s="3">
        <v>40</v>
      </c>
      <c r="B30" s="2" t="s">
        <v>105</v>
      </c>
      <c r="C30" s="2" t="s">
        <v>105</v>
      </c>
      <c r="D30" s="3" t="s">
        <v>106</v>
      </c>
      <c r="E30" s="3" t="s">
        <v>107</v>
      </c>
      <c r="F30" s="2" t="str">
        <f t="shared" si="0"/>
        <v>economy.coin_minting</v>
      </c>
      <c r="G30" s="1" t="s">
        <v>74</v>
      </c>
      <c r="I30" s="1" t="s">
        <v>74</v>
      </c>
    </row>
    <row r="31" spans="1:15">
      <c r="F31" s="2"/>
      <c r="G31" s="1"/>
      <c r="I31" s="1"/>
    </row>
    <row r="32" spans="1:15">
      <c r="A32" s="8" t="s">
        <v>108</v>
      </c>
      <c r="B32" s="9"/>
      <c r="C32" s="9"/>
      <c r="D32" s="9"/>
      <c r="E32" s="9"/>
      <c r="F32" s="2"/>
      <c r="G32" s="1"/>
      <c r="I32" s="1"/>
    </row>
    <row r="33" spans="1:9">
      <c r="A33" s="9"/>
      <c r="B33" s="9"/>
      <c r="C33" s="9"/>
      <c r="D33" s="9"/>
      <c r="E33" s="9"/>
      <c r="F33" s="2"/>
      <c r="G33" s="1"/>
      <c r="I33" s="1"/>
    </row>
    <row r="34" spans="1:9">
      <c r="A34" s="1" t="s">
        <v>76</v>
      </c>
      <c r="B34" s="1" t="s">
        <v>77</v>
      </c>
      <c r="C34" s="1" t="s">
        <v>78</v>
      </c>
      <c r="D34" s="1" t="s">
        <v>79</v>
      </c>
      <c r="E34" s="1" t="s">
        <v>80</v>
      </c>
      <c r="F34" s="2" t="str">
        <f t="shared" si="0"/>
        <v>Raw Field</v>
      </c>
      <c r="G34" s="1" t="s">
        <v>74</v>
      </c>
      <c r="I34" s="1" t="s">
        <v>74</v>
      </c>
    </row>
    <row r="35" spans="1:9">
      <c r="A35" s="3">
        <v>41</v>
      </c>
      <c r="B35" s="2" t="s">
        <v>109</v>
      </c>
      <c r="C35" s="2" t="s">
        <v>109</v>
      </c>
      <c r="D35" s="3" t="s">
        <v>110</v>
      </c>
      <c r="E35" s="3" t="s">
        <v>111</v>
      </c>
      <c r="F35" s="2" t="str">
        <f t="shared" si="0"/>
        <v>economy.expense</v>
      </c>
      <c r="G35" s="1" t="s">
        <v>74</v>
      </c>
      <c r="I35" s="1" t="s">
        <v>74</v>
      </c>
    </row>
    <row r="36" spans="1:9">
      <c r="A36" s="3">
        <v>42</v>
      </c>
      <c r="B36" s="2" t="s">
        <v>112</v>
      </c>
      <c r="C36" s="2" t="s">
        <v>112</v>
      </c>
      <c r="D36" s="3" t="s">
        <v>113</v>
      </c>
      <c r="E36" s="3" t="s">
        <v>114</v>
      </c>
      <c r="F36" s="2" t="str">
        <f t="shared" si="0"/>
        <v>last_months_army_maintenance</v>
      </c>
      <c r="G36" s="1" t="s">
        <v>74</v>
      </c>
      <c r="I36" s="1" t="s">
        <v>74</v>
      </c>
    </row>
    <row r="37" spans="1:9">
      <c r="A37" s="3">
        <v>43</v>
      </c>
      <c r="B37" s="2" t="s">
        <v>115</v>
      </c>
      <c r="C37" s="3" t="s">
        <v>116</v>
      </c>
      <c r="D37" s="3" t="s">
        <v>117</v>
      </c>
      <c r="E37" s="3" t="s">
        <v>118</v>
      </c>
      <c r="F37" s="2" t="str">
        <f t="shared" si="0"/>
        <v>last_months_navy_maintenance</v>
      </c>
      <c r="G37" s="1" t="s">
        <v>74</v>
      </c>
      <c r="I37" s="1" t="s">
        <v>74</v>
      </c>
    </row>
    <row r="38" spans="1:9">
      <c r="A38" s="3">
        <v>44</v>
      </c>
      <c r="B38" s="2" t="s">
        <v>119</v>
      </c>
      <c r="C38" s="2" t="s">
        <v>119</v>
      </c>
      <c r="D38" s="3" t="s">
        <v>120</v>
      </c>
      <c r="E38" s="3" t="s">
        <v>121</v>
      </c>
      <c r="F38" s="2" t="str">
        <f t="shared" si="0"/>
        <v>last_months_fort_maintenance</v>
      </c>
      <c r="G38" s="1" t="s">
        <v>74</v>
      </c>
      <c r="I38" s="1" t="s">
        <v>74</v>
      </c>
    </row>
    <row r="39" spans="1:9">
      <c r="A39" s="3">
        <v>45</v>
      </c>
      <c r="B39" s="2" t="s">
        <v>122</v>
      </c>
      <c r="C39" s="2" t="s">
        <v>122</v>
      </c>
      <c r="D39" s="3" t="s">
        <v>123</v>
      </c>
      <c r="E39" s="3" t="s">
        <v>124</v>
      </c>
      <c r="F39" s="2" t="str">
        <f t="shared" si="0"/>
        <v>last_months_building_maintenance</v>
      </c>
      <c r="G39" s="1" t="s">
        <v>74</v>
      </c>
      <c r="I39" s="1" t="s">
        <v>74</v>
      </c>
    </row>
    <row r="40" spans="1:9">
      <c r="A40" s="3">
        <v>46</v>
      </c>
      <c r="B40" s="2" t="s">
        <v>125</v>
      </c>
      <c r="C40" s="3" t="s">
        <v>126</v>
      </c>
      <c r="D40" s="3" t="s">
        <v>127</v>
      </c>
      <c r="E40" s="3" t="s">
        <v>128</v>
      </c>
      <c r="F40" s="2" t="str">
        <f t="shared" si="0"/>
        <v>last_months_manpower_expense</v>
      </c>
      <c r="G40" s="1" t="s">
        <v>74</v>
      </c>
      <c r="I40" s="1" t="s">
        <v>74</v>
      </c>
    </row>
    <row r="41" spans="1:9">
      <c r="A41" s="3">
        <v>47</v>
      </c>
      <c r="B41" s="2" t="s">
        <v>129</v>
      </c>
      <c r="C41" s="3" t="s">
        <v>126</v>
      </c>
      <c r="D41" s="3" t="s">
        <v>130</v>
      </c>
      <c r="E41" s="3" t="s">
        <v>131</v>
      </c>
      <c r="F41" s="2" t="str">
        <f t="shared" si="0"/>
        <v>last_months_sailor_expense</v>
      </c>
      <c r="G41" s="1" t="s">
        <v>74</v>
      </c>
      <c r="I41" s="1" t="s">
        <v>74</v>
      </c>
    </row>
    <row r="42" spans="1:9">
      <c r="A42" s="3" t="s">
        <v>132</v>
      </c>
      <c r="B42" s="5" t="s">
        <v>133</v>
      </c>
      <c r="C42" s="3" t="s">
        <v>132</v>
      </c>
      <c r="D42" s="5" t="s">
        <v>134</v>
      </c>
      <c r="E42" s="5" t="s">
        <v>135</v>
      </c>
      <c r="F42" s="2" t="str">
        <f t="shared" si="0"/>
        <v>Sum of known line items</v>
      </c>
      <c r="G42" s="1" t="s">
        <v>74</v>
      </c>
      <c r="I42" s="1" t="s">
        <v>74</v>
      </c>
    </row>
    <row r="43" spans="1:9">
      <c r="F43" s="2"/>
      <c r="G43" s="1"/>
      <c r="I43" s="1"/>
    </row>
    <row r="44" spans="1:9">
      <c r="A44" s="8" t="s">
        <v>136</v>
      </c>
      <c r="B44" s="9"/>
      <c r="C44" s="9"/>
      <c r="D44" s="9"/>
      <c r="F44" s="2"/>
      <c r="G44" s="1"/>
      <c r="I44" s="1"/>
    </row>
    <row r="45" spans="1:9">
      <c r="A45" s="9"/>
      <c r="B45" s="9"/>
      <c r="C45" s="9"/>
      <c r="D45" s="9"/>
      <c r="F45" s="2"/>
      <c r="G45" s="1"/>
      <c r="I45" s="1"/>
    </row>
    <row r="46" spans="1:9">
      <c r="A46" s="1" t="s">
        <v>76</v>
      </c>
      <c r="B46" s="1" t="s">
        <v>77</v>
      </c>
      <c r="C46" s="1" t="s">
        <v>79</v>
      </c>
      <c r="D46" s="1" t="s">
        <v>80</v>
      </c>
      <c r="F46" s="2" t="str">
        <f t="shared" si="0"/>
        <v>Raw Field</v>
      </c>
      <c r="G46" s="1" t="s">
        <v>74</v>
      </c>
      <c r="I46" s="1" t="s">
        <v>74</v>
      </c>
    </row>
    <row r="47" spans="1:9">
      <c r="A47" s="3">
        <v>48</v>
      </c>
      <c r="B47" s="2" t="s">
        <v>137</v>
      </c>
      <c r="C47" s="3" t="s">
        <v>138</v>
      </c>
      <c r="D47" s="3" t="s">
        <v>139</v>
      </c>
      <c r="F47" s="2" t="str">
        <f t="shared" si="0"/>
        <v>economy.income - economy.expense</v>
      </c>
      <c r="G47" s="1" t="s">
        <v>74</v>
      </c>
      <c r="I47" s="1" t="s">
        <v>74</v>
      </c>
    </row>
    <row r="48" spans="1:9">
      <c r="A48" s="3">
        <v>49</v>
      </c>
      <c r="B48" s="2" t="s">
        <v>140</v>
      </c>
      <c r="C48" s="3" t="s">
        <v>141</v>
      </c>
      <c r="D48" s="3" t="s">
        <v>142</v>
      </c>
      <c r="F48" s="2" t="str">
        <f t="shared" si="0"/>
        <v>balance_history_2.Gold</v>
      </c>
      <c r="G48" s="1" t="s">
        <v>74</v>
      </c>
      <c r="I48" s="1" t="s">
        <v>74</v>
      </c>
    </row>
    <row r="49" spans="1:9">
      <c r="A49" s="3">
        <v>50</v>
      </c>
      <c r="B49" s="2" t="s">
        <v>143</v>
      </c>
      <c r="C49" s="3" t="s">
        <v>144</v>
      </c>
      <c r="D49" s="3" t="s">
        <v>145</v>
      </c>
      <c r="F49" s="2" t="str">
        <f t="shared" si="0"/>
        <v>economy.total_debt</v>
      </c>
      <c r="G49" s="1" t="s">
        <v>74</v>
      </c>
      <c r="I49" s="1" t="s">
        <v>74</v>
      </c>
    </row>
    <row r="50" spans="1:9">
      <c r="A50" s="3">
        <v>51</v>
      </c>
      <c r="B50" s="2" t="s">
        <v>146</v>
      </c>
      <c r="C50" s="3" t="s">
        <v>147</v>
      </c>
      <c r="D50" s="3" t="s">
        <v>148</v>
      </c>
      <c r="F50" s="2" t="str">
        <f t="shared" si="0"/>
        <v>economy.loan_capacity</v>
      </c>
      <c r="G50" s="1" t="s">
        <v>74</v>
      </c>
      <c r="I50" s="1" t="s">
        <v>74</v>
      </c>
    </row>
    <row r="51" spans="1:9">
      <c r="A51" s="9"/>
      <c r="B51" s="9"/>
      <c r="C51" s="9"/>
      <c r="D51" s="9"/>
      <c r="F51" s="2"/>
      <c r="G51" s="1"/>
      <c r="I51" s="1"/>
    </row>
    <row r="52" spans="1:9">
      <c r="A52" s="8" t="s">
        <v>149</v>
      </c>
      <c r="B52" s="9"/>
      <c r="C52" s="9"/>
      <c r="D52" s="9"/>
      <c r="F52" s="2"/>
      <c r="G52" s="1"/>
      <c r="I52" s="1"/>
    </row>
    <row r="53" spans="1:9">
      <c r="A53" s="9"/>
      <c r="B53" s="9"/>
      <c r="C53" s="9"/>
      <c r="D53" s="9"/>
      <c r="F53" s="2"/>
      <c r="G53" s="1"/>
      <c r="I53" s="1"/>
    </row>
    <row r="54" spans="1:9">
      <c r="A54" s="1" t="s">
        <v>150</v>
      </c>
      <c r="B54" s="1" t="s">
        <v>151</v>
      </c>
      <c r="C54" s="1" t="s">
        <v>152</v>
      </c>
      <c r="D54" s="9"/>
      <c r="F54" s="2"/>
    </row>
    <row r="55" spans="1:9">
      <c r="A55" s="3" t="s">
        <v>153</v>
      </c>
      <c r="B55" s="3" t="s">
        <v>154</v>
      </c>
      <c r="C55" s="3" t="s">
        <v>155</v>
      </c>
      <c r="D55" s="9"/>
      <c r="F55" s="2"/>
    </row>
    <row r="56" spans="1:9">
      <c r="A56" s="3" t="s">
        <v>156</v>
      </c>
      <c r="B56" s="3" t="s">
        <v>154</v>
      </c>
      <c r="C56" s="10">
        <v>1</v>
      </c>
      <c r="D56" s="9"/>
      <c r="F56" s="2"/>
    </row>
    <row r="57" spans="1:9">
      <c r="A57" s="3" t="s">
        <v>157</v>
      </c>
      <c r="B57" s="3" t="s">
        <v>154</v>
      </c>
      <c r="C57" s="10">
        <v>1</v>
      </c>
      <c r="D57" s="9"/>
      <c r="F57" s="2"/>
    </row>
    <row r="58" spans="1:9">
      <c r="A58" s="3" t="s">
        <v>158</v>
      </c>
      <c r="B58" s="3" t="s">
        <v>159</v>
      </c>
      <c r="C58" s="10">
        <v>0.25</v>
      </c>
      <c r="D58" s="9"/>
      <c r="F58" s="2"/>
    </row>
    <row r="59" spans="1:9">
      <c r="A59" s="3" t="s">
        <v>160</v>
      </c>
      <c r="B59" s="3" t="s">
        <v>161</v>
      </c>
      <c r="C59" s="10">
        <v>0.5</v>
      </c>
      <c r="D59" s="9"/>
      <c r="F59" s="2"/>
    </row>
    <row r="60" spans="1:9">
      <c r="A60" s="3" t="s">
        <v>162</v>
      </c>
      <c r="B60" s="3" t="s">
        <v>161</v>
      </c>
      <c r="C60" s="10">
        <v>0.5</v>
      </c>
      <c r="D60" s="9"/>
      <c r="F60" s="2"/>
    </row>
    <row r="61" spans="1:9">
      <c r="A61" s="9"/>
      <c r="B61" s="9"/>
      <c r="C61" s="9"/>
      <c r="D61" s="9"/>
      <c r="F61" s="2"/>
    </row>
    <row r="62" spans="1:9">
      <c r="A62" s="8" t="s">
        <v>163</v>
      </c>
      <c r="B62" s="9"/>
      <c r="C62" s="9"/>
      <c r="D62" s="9"/>
      <c r="F62" s="2"/>
    </row>
    <row r="63" spans="1:9">
      <c r="A63" s="9"/>
      <c r="B63" s="9"/>
      <c r="C63" s="9"/>
      <c r="D63" s="9"/>
      <c r="F63" s="2"/>
    </row>
    <row r="64" spans="1:9">
      <c r="A64" s="1" t="s">
        <v>164</v>
      </c>
      <c r="B64" s="1" t="s">
        <v>165</v>
      </c>
      <c r="C64" s="9"/>
      <c r="D64" s="9"/>
      <c r="F64" s="2"/>
    </row>
    <row r="65" spans="1:6">
      <c r="A65" s="3" t="s">
        <v>166</v>
      </c>
      <c r="B65" s="3" t="s">
        <v>167</v>
      </c>
      <c r="C65" s="9"/>
      <c r="D65" s="9"/>
      <c r="F65" s="2"/>
    </row>
    <row r="66" spans="1:6">
      <c r="A66" s="3" t="s">
        <v>168</v>
      </c>
      <c r="B66" s="3" t="s">
        <v>169</v>
      </c>
      <c r="C66" s="9"/>
      <c r="D66" s="9"/>
      <c r="F66" s="2"/>
    </row>
    <row r="67" spans="1:6">
      <c r="A67" s="3" t="s">
        <v>170</v>
      </c>
      <c r="B67" s="3" t="s">
        <v>171</v>
      </c>
      <c r="C67" s="9"/>
      <c r="D67" s="9"/>
      <c r="F67" s="2"/>
    </row>
    <row r="68" spans="1:6">
      <c r="F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MICHOT Pierre Hugues</dc:creator>
  <cp:lastModifiedBy>MICHOT Pierre Hugues</cp:lastModifiedBy>
  <dcterms:created xsi:type="dcterms:W3CDTF">2026-04-04T13:26:06Z</dcterms:created>
  <dcterms:modified xsi:type="dcterms:W3CDTF">2026-04-04T14:40:19Z</dcterms:modified>
</cp:coreProperties>
</file>